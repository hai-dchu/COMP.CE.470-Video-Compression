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1" defaultThemeVersion="202300"/>
  <mc:AlternateContent xmlns:mc="http://schemas.openxmlformats.org/markup-compatibility/2006">
    <mc:Choice Requires="x15">
      <x15ac:absPath xmlns:x15ac="http://schemas.microsoft.com/office/spreadsheetml/2010/11/ac" url="https://tuni.sharepoint.com/sites/TG-ultravideo/Jaetut asiakirjat/Teaching/COMPCE470/12-Applications/"/>
    </mc:Choice>
  </mc:AlternateContent>
  <xr:revisionPtr revIDLastSave="9" documentId="13_ncr:20001_{E695A846-EDF7-482C-AE41-A932CA5B05BD}" xr6:coauthVersionLast="47" xr6:coauthVersionMax="47" xr10:uidLastSave="{77F7AEF3-7F15-44FB-B608-DD07A132F7F5}"/>
  <bookViews>
    <workbookView xWindow="-120" yWindow="-120" windowWidth="38640" windowHeight="21120" tabRatio="500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I6" i="1" l="1"/>
  <c r="H6" i="1"/>
  <c r="G6" i="1"/>
  <c r="F6" i="1"/>
  <c r="E6" i="1"/>
  <c r="D6" i="1"/>
  <c r="C6" i="1"/>
  <c r="B6" i="1"/>
  <c r="K5" i="1"/>
  <c r="K4" i="1"/>
</calcChain>
</file>

<file path=xl/sharedStrings.xml><?xml version="1.0" encoding="utf-8"?>
<sst xmlns="http://schemas.openxmlformats.org/spreadsheetml/2006/main" count="21" uniqueCount="15">
  <si>
    <t>kb/s</t>
  </si>
  <si>
    <t>PSNR</t>
  </si>
  <si>
    <t>BD-rate</t>
  </si>
  <si>
    <t>diff</t>
  </si>
  <si>
    <t>coder 2</t>
  </si>
  <si>
    <t>coder 1</t>
  </si>
  <si>
    <t>&lt;- coder 1 compared to coder 2 (coder 1 BD-rate 17,68% lower) coder 1 is BETTER</t>
  </si>
  <si>
    <t>&lt;- coder 2 compared to coder 1 (coder 2 BD-rate 21,48% higher)</t>
  </si>
  <si>
    <t>PSNR values to input (average over the whole sequence)</t>
  </si>
  <si>
    <t>bitrate values to input (average over the sequence)</t>
  </si>
  <si>
    <t>(EXPLANATION FOR THE EXAMPLE VALUES)</t>
  </si>
  <si>
    <t>Please enable macros to be able to use the BD-rate calculator</t>
  </si>
  <si>
    <t>Open in desktop Excel</t>
  </si>
  <si>
    <t>Example QP values-&gt;</t>
  </si>
  <si>
    <t>QP values themself do not matter but they should be in order from lowest to highest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</si>
</sst>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%"/>
  </numFmts>
  <fonts count="2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164" fontId="0" fillId="0" borderId="2" xfId="0" applyNumberFormat="1" applyBorder="1"/>
    <xf numFmtId="2" fontId="0" fillId="0" borderId="3" xfId="0" applyNumberFormat="1" applyBorder="1"/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2" fontId="0" fillId="2" borderId="0" xfId="0" applyNumberFormat="1" applyFill="1"/>
    <xf numFmtId="2" fontId="0" fillId="3" borderId="1" xfId="0" applyNumberFormat="1" applyFill="1" applyBorder="1"/>
    <xf numFmtId="0" fontId="0" fillId="3" borderId="0" xfId="0" applyFill="1"/>
    <xf numFmtId="0" fontId="0" fillId="2" borderId="0" xfId="0" applyFill="1"/>
    <xf numFmtId="0" fontId="1" fillId="0" borderId="0" xfId="0" applyFon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ED1C24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PSNR-bitrate</a:t>
            </a:r>
            <a:r>
              <a:rPr lang="en-US" baseline="0"/>
              <a:t> plot of the coders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FI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Sheet1!$A$4</c:f>
              <c:strCache>
                <c:ptCount val="1"/>
                <c:pt idx="0">
                  <c:v>coder 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(Sheet1!$B$4,Sheet1!$D$4,Sheet1!$F$4,Sheet1!$H$4)</c:f>
              <c:numCache>
                <c:formatCode>0.00</c:formatCode>
                <c:ptCount val="4"/>
                <c:pt idx="0">
                  <c:v>28459.432812499999</c:v>
                </c:pt>
                <c:pt idx="1">
                  <c:v>17167.759375000001</c:v>
                </c:pt>
                <c:pt idx="2">
                  <c:v>10365.77734375</c:v>
                </c:pt>
                <c:pt idx="3">
                  <c:v>6221.1414062499998</c:v>
                </c:pt>
              </c:numCache>
            </c:numRef>
          </c:xVal>
          <c:yVal>
            <c:numRef>
              <c:f>(Sheet1!$C$4,Sheet1!$E$4,Sheet1!$G$4,Sheet1!$I$4)</c:f>
              <c:numCache>
                <c:formatCode>0.00</c:formatCode>
                <c:ptCount val="4"/>
                <c:pt idx="0">
                  <c:v>41.479100000000003</c:v>
                </c:pt>
                <c:pt idx="1">
                  <c:v>38.380299999999998</c:v>
                </c:pt>
                <c:pt idx="2">
                  <c:v>35.253999999999998</c:v>
                </c:pt>
                <c:pt idx="3">
                  <c:v>31.210699999999999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87-474D-B17B-13281D865F67}"/>
            </c:ext>
          </c:extLst>
        </c:ser>
        <c:ser>
          <c:idx val="1"/>
          <c:order val="1"/>
          <c:tx>
            <c:strRef>
              <c:f>Sheet1!$A$5</c:f>
              <c:strCache>
                <c:ptCount val="1"/>
                <c:pt idx="0">
                  <c:v>coder 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(Sheet1!$B$5,Sheet1!$D$5,Sheet1!$F$5,Sheet1!$H$5)</c:f>
              <c:numCache>
                <c:formatCode>0.00</c:formatCode>
                <c:ptCount val="4"/>
                <c:pt idx="0">
                  <c:v>23377.8184</c:v>
                </c:pt>
                <c:pt idx="1">
                  <c:v>16974.800800000001</c:v>
                </c:pt>
                <c:pt idx="2">
                  <c:v>9222.9104000000007</c:v>
                </c:pt>
                <c:pt idx="3">
                  <c:v>5695.2623999999996</c:v>
                </c:pt>
              </c:numCache>
            </c:numRef>
          </c:xVal>
          <c:yVal>
            <c:numRef>
              <c:f>(Sheet1!$C$5,Sheet1!$E$5,Sheet1!$G$5,Sheet1!$I$5)</c:f>
              <c:numCache>
                <c:formatCode>0.00</c:formatCode>
                <c:ptCount val="4"/>
                <c:pt idx="0">
                  <c:v>41.916600000000003</c:v>
                </c:pt>
                <c:pt idx="1">
                  <c:v>39.020800000000001</c:v>
                </c:pt>
                <c:pt idx="2">
                  <c:v>35.966299999999997</c:v>
                </c:pt>
                <c:pt idx="3">
                  <c:v>32.885800000000003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87-474D-B17B-13281D865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5702784"/>
        <c:axId val="1495701824"/>
      </c:scatterChart>
      <c:valAx>
        <c:axId val="1495702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FI"/>
          </a:p>
        </c:txPr>
        <c:crossAx val="1495701824"/>
        <c:crosses val="autoZero"/>
        <c:crossBetween val="midCat"/>
      </c:valAx>
      <c:valAx>
        <c:axId val="149570182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FI"/>
          </a:p>
        </c:txPr>
        <c:crossAx val="1495702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FI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FI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</xdr:colOff>
      <xdr:row>10</xdr:row>
      <xdr:rowOff>161925</xdr:rowOff>
    </xdr:from>
    <xdr:to>
      <xdr:col>23</xdr:col>
      <xdr:colOff>200025</xdr:colOff>
      <xdr:row>34</xdr:row>
      <xdr:rowOff>109537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1AC0B79-5080-2353-720A-C3263375E9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M15"/>
  <sheetViews>
    <sheetView tabSelected="1" zoomScaleNormal="100" workbookViewId="0">
      <selection activeCell="M37" sqref="M37"/>
    </sheetView>
  </sheetViews>
  <sheetFormatPr defaultRowHeight="15" x14ac:dyDescent="0.25"/>
  <cols>
    <col min="1" max="1" width="19.7109375" bestFit="1" customWidth="1"/>
    <col min="2" max="2" width="11.5703125" customWidth="1"/>
    <col min="3" max="3" width="8.7109375" customWidth="1"/>
    <col min="4" max="4" width="12.5703125" customWidth="1"/>
    <col min="5" max="5" width="11.140625" customWidth="1"/>
    <col min="6" max="6" width="11.85546875" customWidth="1"/>
    <col min="7" max="7" width="10.28515625" customWidth="1"/>
    <col min="8" max="8" width="7.5703125" bestFit="1" customWidth="1"/>
    <col min="9" max="9" width="12.28515625" customWidth="1"/>
    <col min="10" max="1025" width="8.7109375" customWidth="1"/>
  </cols>
  <sheetData>
    <row r="1" spans="1:13" x14ac:dyDescent="0.25">
      <c r="B1" t="s">
        <v>14</v>
      </c>
    </row>
    <row r="2" spans="1:13" x14ac:dyDescent="0.25">
      <c r="A2" t="s">
        <v>13</v>
      </c>
      <c r="B2" s="11">
        <v>22</v>
      </c>
      <c r="C2" s="11"/>
      <c r="D2" s="11">
        <v>27</v>
      </c>
      <c r="E2" s="11"/>
      <c r="F2" s="11">
        <v>32</v>
      </c>
      <c r="G2" s="11"/>
      <c r="H2" s="11">
        <v>37</v>
      </c>
      <c r="I2" s="11"/>
    </row>
    <row r="3" spans="1:13" x14ac:dyDescent="0.25">
      <c r="B3" t="s">
        <v>0</v>
      </c>
      <c r="C3" t="s">
        <v>1</v>
      </c>
      <c r="D3" t="s">
        <v>0</v>
      </c>
      <c r="E3" t="s">
        <v>1</v>
      </c>
      <c r="F3" t="s">
        <v>0</v>
      </c>
      <c r="G3" t="s">
        <v>1</v>
      </c>
      <c r="H3" t="s">
        <v>0</v>
      </c>
      <c r="I3" t="s">
        <v>1</v>
      </c>
      <c r="K3" t="s">
        <v>2</v>
      </c>
      <c r="L3" s="10" t="s">
        <v>10</v>
      </c>
    </row>
    <row r="4" spans="1:13" x14ac:dyDescent="0.25">
      <c r="A4" t="s">
        <v>4</v>
      </c>
      <c r="B4" s="6">
        <v>28459.432812499999</v>
      </c>
      <c r="C4" s="7">
        <v>41.479100000000003</v>
      </c>
      <c r="D4" s="6">
        <v>17167.759375000001</v>
      </c>
      <c r="E4" s="7">
        <v>38.380299999999998</v>
      </c>
      <c r="F4" s="6">
        <v>10365.77734375</v>
      </c>
      <c r="G4" s="7">
        <v>35.253999999999998</v>
      </c>
      <c r="H4" s="6">
        <v>6221.1414062499998</v>
      </c>
      <c r="I4" s="7">
        <v>31.210699999999999</v>
      </c>
      <c r="K4" s="1">
        <f>BDRATE(B5,D5,F5,H5,C5,E5,G5,I5,B4,D4,F4,H4,C4,E4,G4,I4)</f>
        <v>0.21482229063957692</v>
      </c>
      <c r="L4" t="s">
        <v>7</v>
      </c>
    </row>
    <row r="5" spans="1:13" x14ac:dyDescent="0.25">
      <c r="A5" t="s">
        <v>5</v>
      </c>
      <c r="B5" s="6">
        <v>23377.8184</v>
      </c>
      <c r="C5" s="7">
        <v>41.916600000000003</v>
      </c>
      <c r="D5" s="6">
        <v>16974.800800000001</v>
      </c>
      <c r="E5" s="7">
        <v>39.020800000000001</v>
      </c>
      <c r="F5" s="6">
        <v>9222.9104000000007</v>
      </c>
      <c r="G5" s="7">
        <v>35.966299999999997</v>
      </c>
      <c r="H5" s="6">
        <v>5695.2623999999996</v>
      </c>
      <c r="I5" s="7">
        <v>32.885800000000003</v>
      </c>
      <c r="K5" s="1">
        <f>BDRATE(B4,D4,F4,H4,C4,E4,G4,I4,B5,D5,F5,H5,C5,E5,G5,I5)</f>
        <v>-0.17683433395552672</v>
      </c>
      <c r="L5" t="s">
        <v>6</v>
      </c>
    </row>
    <row r="6" spans="1:13" x14ac:dyDescent="0.25">
      <c r="A6" t="s">
        <v>3</v>
      </c>
      <c r="B6" s="2">
        <f>(B4/B5)-1</f>
        <v>0.21736906008731771</v>
      </c>
      <c r="C6" s="3">
        <f>C4-C5</f>
        <v>-0.4375</v>
      </c>
      <c r="D6" s="2">
        <f>(D4/D5)-1</f>
        <v>1.1367354307922239E-2</v>
      </c>
      <c r="E6" s="3">
        <f>E4-E5</f>
        <v>-0.64050000000000296</v>
      </c>
      <c r="F6" s="2">
        <f>(F4/F5)-1</f>
        <v>0.12391608442276514</v>
      </c>
      <c r="G6" s="3">
        <f>G4-G5</f>
        <v>-0.71229999999999905</v>
      </c>
      <c r="H6" s="2">
        <f>(H4/H5)-1</f>
        <v>9.2336220759556165E-2</v>
      </c>
      <c r="I6" s="3">
        <f>I4-I5</f>
        <v>-1.675100000000004</v>
      </c>
    </row>
    <row r="8" spans="1:13" x14ac:dyDescent="0.25">
      <c r="B8" s="8" t="s">
        <v>8</v>
      </c>
      <c r="C8" s="8"/>
      <c r="M8" s="4"/>
    </row>
    <row r="9" spans="1:13" x14ac:dyDescent="0.25">
      <c r="B9" s="9" t="s">
        <v>9</v>
      </c>
      <c r="C9" s="9"/>
      <c r="M9" s="5"/>
    </row>
    <row r="10" spans="1:13" x14ac:dyDescent="0.25">
      <c r="M10" s="5"/>
    </row>
    <row r="11" spans="1:13" x14ac:dyDescent="0.25">
      <c r="B11" s="10" t="s">
        <v>11</v>
      </c>
      <c r="M11" s="5"/>
    </row>
    <row r="12" spans="1:13" x14ac:dyDescent="0.25">
      <c r="B12" s="10" t="s">
        <v>12</v>
      </c>
      <c r="M12" s="5"/>
    </row>
    <row r="13" spans="1:13" x14ac:dyDescent="0.25">
      <c r="M13" s="5"/>
    </row>
    <row r="14" spans="1:13" x14ac:dyDescent="0.25">
      <c r="M14" s="5"/>
    </row>
    <row r="15" spans="1:13" x14ac:dyDescent="0.25">
      <c r="M15" s="5"/>
    </row>
  </sheetData>
  <mergeCells count="4">
    <mergeCell ref="B2:C2"/>
    <mergeCell ref="D2:E2"/>
    <mergeCell ref="F2:G2"/>
    <mergeCell ref="H2:I2"/>
  </mergeCells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"/>
  <sheetViews>
    <sheetView zoomScaleNormal="100" workbookViewId="0"/>
  </sheetViews>
  <sheetFormatPr defaultRowHeight="15" x14ac:dyDescent="0.25"/>
  <cols>
    <col min="1" max="1025" width="8.7109375" customWidth="1"/>
  </cols>
  <sheetData/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"/>
  <sheetViews>
    <sheetView zoomScaleNormal="100" workbookViewId="0"/>
  </sheetViews>
  <sheetFormatPr defaultRowHeight="15" x14ac:dyDescent="0.25"/>
  <cols>
    <col min="1" max="1025" width="8.7109375" customWidth="1"/>
  </cols>
  <sheetData/>
  <pageMargins left="0.7" right="0.7" top="0.75" bottom="0.75" header="0.51180555555555496" footer="0.51180555555555496"/>
  <pageSetup paperSize="9" firstPageNumber="0" orientation="portrait" horizontalDpi="300" verticalDpi="30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521244e2-e303-4b9d-91d5-017d3c086010">
      <Terms xmlns="http://schemas.microsoft.com/office/infopath/2007/PartnerControls"/>
    </lcf76f155ced4ddcb4097134ff3c332f>
    <TaxCatchAll xmlns="583f1d06-3dbd-425c-97f0-a2889d93c8f1" xsi:nil="true"/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Asiakirja" ma:contentTypeID="0x010100E3F7352B4B86334A910667F0352B03C9" ma:contentTypeVersion="15" ma:contentTypeDescription="Luo uusi asiakirja." ma:contentTypeScope="" ma:versionID="c85b1e93038e87fae6249d8301229054">
  <xsd:schema xmlns:xsd="http://www.w3.org/2001/XMLSchema" xmlns:xs="http://www.w3.org/2001/XMLSchema" xmlns:p="http://schemas.microsoft.com/office/2006/metadata/properties" xmlns:ns1="http://schemas.microsoft.com/sharepoint/v3" xmlns:ns2="521244e2-e303-4b9d-91d5-017d3c086010" xmlns:ns3="583f1d06-3dbd-425c-97f0-a2889d93c8f1" targetNamespace="http://schemas.microsoft.com/office/2006/metadata/properties" ma:root="true" ma:fieldsID="cd336e3e9790717051dcb44a995a4833" ns1:_="" ns2:_="" ns3:_="">
    <xsd:import namespace="http://schemas.microsoft.com/sharepoint/v3"/>
    <xsd:import namespace="521244e2-e303-4b9d-91d5-017d3c086010"/>
    <xsd:import namespace="583f1d06-3dbd-425c-97f0-a2889d93c8f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1" nillable="true" ma:displayName="Yhtenäisen yhteensopivuuskäytännön ominaisuudet" ma:hidden="true" ma:internalName="_ip_UnifiedCompliancePolicyProperties">
      <xsd:simpleType>
        <xsd:restriction base="dms:Note"/>
      </xsd:simpleType>
    </xsd:element>
    <xsd:element name="_ip_UnifiedCompliancePolicyUIAction" ma:index="22" nillable="true" ma:displayName="Yhtenäisen yhteensopivuuskäytännön käyttöliittymän toiminto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1244e2-e303-4b9d-91d5-017d3c0860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Kuvien tunnisteet" ma:readOnly="false" ma:fieldId="{5cf76f15-5ced-4ddc-b409-7134ff3c332f}" ma:taxonomyMulti="true" ma:sspId="eef07030-0f6a-43b1-b2b9-3b252e59dea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83f1d06-3dbd-425c-97f0-a2889d93c8f1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cc7c221b-aecc-430e-9c3d-c84b11b05197}" ma:internalName="TaxCatchAll" ma:showField="CatchAllData" ma:web="583f1d06-3dbd-425c-97f0-a2889d93c8f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Sisältölaji"/>
        <xsd:element ref="dc:title" minOccurs="0" maxOccurs="1" ma:index="4" ma:displayName="Otsikk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E6A9120-071B-4A28-8A12-756487E0C27A}">
  <ds:schemaRefs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purl.org/dc/elements/1.1/"/>
    <ds:schemaRef ds:uri="13017dc4-cc46-4378-835b-199712df6938"/>
    <ds:schemaRef ds:uri="http://schemas.microsoft.com/office/2006/metadata/properties"/>
    <ds:schemaRef ds:uri="http://schemas.microsoft.com/office/2006/documentManagement/types"/>
    <ds:schemaRef ds:uri="7d073884-21dd-4d67-9b0d-2bf7bf2289bf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727C186D-CBD3-44B4-9FEF-6E9D13FF817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5F94B13-465A-4989-921A-393C54DBD11E}"/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11652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TUT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Viitanen Marko</dc:creator>
  <dc:description/>
  <cp:lastModifiedBy>Marko Viitanen (TAU)</cp:lastModifiedBy>
  <cp:revision>2</cp:revision>
  <dcterms:created xsi:type="dcterms:W3CDTF">2014-01-13T10:13:01Z</dcterms:created>
  <dcterms:modified xsi:type="dcterms:W3CDTF">2025-04-30T12:43:52Z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mpany">
    <vt:lpwstr>TUT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ContentTypeId">
    <vt:lpwstr>0x010100E3F7352B4B86334A910667F0352B03C9</vt:lpwstr>
  </property>
  <property fmtid="{D5CDD505-2E9C-101B-9397-08002B2CF9AE}" pid="10" name="MediaServiceImageTags">
    <vt:lpwstr/>
  </property>
</Properties>
</file>